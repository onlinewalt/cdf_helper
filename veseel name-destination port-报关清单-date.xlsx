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DF_helper\"/>
    </mc:Choice>
  </mc:AlternateContent>
  <bookViews>
    <workbookView windowWidth="27945" windowHeight="12255"/>
  </bookViews>
  <sheets>
    <sheet name="Sheet1" sheetId="1" r:id="rId1"/>
  </sheets>
  <definedNames>
    <definedName name="_xlnm._FilterDatabase" localSheetId="0" hidden="1">Sheet1!$A$1:$G$7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<sst xmlns="http://schemas.openxmlformats.org/spreadsheetml/2006/main" count="18" uniqueCount="16">
  <si>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船名：新安远</t>
  </si>
  <si>
    <t>序号</t>
  </si>
  <si>
    <t>备件名称</t>
  </si>
  <si>
    <t>数量</t>
  </si>
  <si>
    <t>单位</t>
  </si>
  <si>
    <t>重量(KG)</t>
  </si>
  <si>
    <t>单价/RMB</t>
  </si>
  <si>
    <t>金额RMB</t>
  </si>
  <si>
    <t>水喷淋光电感烟感温探测器底座</t>
  </si>
  <si>
    <t>个</t>
  </si>
  <si>
    <t>泵筒总成</t>
  </si>
  <si>
    <t>转换器</t>
  </si>
  <si>
    <t>件</t>
  </si>
  <si>
    <t>控制输出板 &gt;&gt; 整流器</t>
  </si>
  <si>
    <t>合计</t>
  </si>
  <si>
    <t>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</si>
</sst>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2"/>
      <name val="微软雅黑"/>
      <charset val="134"/>
    </font>
    <font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zoomScale="90" zoomScaleNormal="90" workbookViewId="0">
      <selection activeCell="C14" sqref="C14"/>
    </sheetView>
  </sheetViews>
  <sheetFormatPr defaultColWidth="9" defaultRowHeight="14.25"/>
  <cols>
    <col min="1" max="1" width="9" style="3"/>
    <col min="2" max="2" width="28.625" style="3" customWidth="1"/>
    <col min="3" max="3" width="13.8666666666667" style="3" customWidth="1"/>
    <col min="4" max="5" width="9" style="3" customWidth="1"/>
    <col min="6" max="6" width="12.8083333333333" style="3" customWidth="1"/>
    <col min="7" max="7" width="19.5083333333333" style="3" customWidth="1"/>
    <col min="8" max="10" width="9" style="3"/>
    <col min="11" max="11" width="44" style="3" customWidth="1"/>
    <col min="12" max="12" width="10.375" style="3" customWidth="1"/>
    <col min="13" max="13" width="22.875" style="3" customWidth="1"/>
    <col min="14" max="14" width="67.5" style="3" customWidth="1"/>
    <col min="15" max="15" width="3.875" style="3" customWidth="1"/>
    <col min="16" max="16" width="5.5" style="3" customWidth="1"/>
    <col min="17" max="17" width="3.875" style="3" customWidth="1"/>
    <col min="18" max="16384" width="9" style="3"/>
  </cols>
  <sheetData>
    <row r="1" s="1" customFormat="1" ht="39" customHeight="1" spans="1:16">
      <c r="A1" s="4" t="s">
        <v>0</v>
      </c>
      <c r="B1" s="5"/>
      <c r="C1" s="5"/>
      <c r="D1" s="5"/>
      <c r="E1" s="5"/>
      <c r="F1" s="5"/>
      <c r="G1" s="6"/>
    </row>
    <row r="2" s="2" customFormat="1" ht="20" customHeight="1" spans="1:16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2" customFormat="1" ht="20" customHeight="1" spans="1:16">
      <c r="A3" s="7">
        <f>ROW()-2</f>
        <v>1</v>
      </c>
      <c r="B3" s="7" t="s">
        <v>8</v>
      </c>
      <c r="C3" s="8">
        <v>1</v>
      </c>
      <c r="D3" s="8" t="s">
        <v>9</v>
      </c>
      <c r="E3" s="8">
        <v>1</v>
      </c>
      <c r="F3" s="8">
        <v>600</v>
      </c>
      <c r="G3" s="8">
        <f>C3*F3</f>
        <v>600</v>
      </c>
    </row>
    <row r="4" s="1" customFormat="1" ht="20" customHeight="1" spans="1:16">
      <c r="A4" s="7">
        <f>ROW()-2</f>
        <v>2</v>
      </c>
      <c r="B4" s="7" t="s">
        <v>10</v>
      </c>
      <c r="C4" s="8">
        <v>2</v>
      </c>
      <c r="D4" s="8" t="s">
        <v>9</v>
      </c>
      <c r="E4" s="8">
        <v>20</v>
      </c>
      <c r="F4" s="8">
        <v>1200</v>
      </c>
      <c r="G4" s="8">
        <f>C4*F4</f>
        <v>2400</v>
      </c>
    </row>
    <row r="5" s="1" customFormat="1" ht="20" customHeight="1" spans="1:16">
      <c r="A5" s="7">
        <f>ROW()-2</f>
        <v>3</v>
      </c>
      <c r="B5" s="7" t="s">
        <v>11</v>
      </c>
      <c r="C5" s="8">
        <v>1</v>
      </c>
      <c r="D5" s="8" t="s">
        <v>12</v>
      </c>
      <c r="E5" s="8">
        <v>2</v>
      </c>
      <c r="F5" s="8">
        <v>400</v>
      </c>
      <c r="G5" s="8">
        <f>C5*F5</f>
        <v>400</v>
      </c>
    </row>
    <row r="6" s="1" customFormat="1" ht="20" customHeight="1" spans="1:16">
      <c r="A6" s="7">
        <f>ROW()-2</f>
        <v>4</v>
      </c>
      <c r="B6" s="7" t="s">
        <v>13</v>
      </c>
      <c r="C6" s="8">
        <v>1</v>
      </c>
      <c r="D6" s="8" t="s">
        <v>12</v>
      </c>
      <c r="E6" s="8">
        <v>3</v>
      </c>
      <c r="F6" s="8">
        <v>600</v>
      </c>
      <c r="G6" s="8">
        <f>C6*F6</f>
        <v>600</v>
      </c>
    </row>
    <row r="7" s="1" customFormat="1" ht="20" customHeight="1" spans="1:16">
      <c r="A7" s="9" t="s">
        <v>14</v>
      </c>
      <c r="B7" s="9"/>
      <c r="C7" s="9">
        <f ca="1">SUM(C$3:INDEX(C:C,ROW()-1))</f>
        <v>5</v>
      </c>
      <c r="D7" s="9"/>
      <c r="E7" s="9">
        <f ca="1">SUM(E$3:INDEX(E:E,ROW()-1))</f>
        <v>26</v>
      </c>
      <c r="F7" s="9"/>
      <c r="G7" s="9">
        <f ca="1">SUM(G$3:INDEX(G:G,ROW()-1))</f>
        <v>4000</v>
      </c>
      <c r="O7" s="1" t="s">
        <v>15</v>
      </c>
      <c r="P7" s="1">
        <v>2</v>
      </c>
    </row>
    <row r="15" s="3" customFormat="1" spans="1:16">
      <c r="G15" s="10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睡到自然醒</cp:lastModifiedBy>
  <dcterms:created xsi:type="dcterms:W3CDTF">2021-05-31T01:17:00Z</dcterms:created>
  <dcterms:modified xsi:type="dcterms:W3CDTF">2026-08-20T02:24:40Z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8CE260C39A194E28A58744F2278E9A8F_13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